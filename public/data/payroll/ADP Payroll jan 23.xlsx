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1e8380b8be122/Desktop/Old PC/Jim/Sushi AI Project/"/>
    </mc:Choice>
  </mc:AlternateContent>
  <xr:revisionPtr revIDLastSave="4" documentId="8_{FECFF224-682E-4415-951A-54DE6B83710B}" xr6:coauthVersionLast="47" xr6:coauthVersionMax="47" xr10:uidLastSave="{EFA99106-7CE0-4991-918B-2129C5B108C9}"/>
  <bookViews>
    <workbookView xWindow="-110" yWindow="-110" windowWidth="19420" windowHeight="11500" xr2:uid="{89EC549B-3EDD-4AAF-AB8A-7951D4736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I4" i="1"/>
  <c r="J4" i="1"/>
  <c r="I5" i="1"/>
  <c r="J5" i="1"/>
  <c r="I6" i="1"/>
  <c r="J6" i="1"/>
  <c r="I7" i="1"/>
  <c r="J7" i="1"/>
  <c r="I8" i="1"/>
  <c r="J8" i="1"/>
  <c r="I2" i="1"/>
  <c r="J2" i="1" s="1"/>
  <c r="K2" i="1" s="1"/>
  <c r="G8" i="1"/>
  <c r="K8" i="1" s="1"/>
  <c r="G3" i="1"/>
  <c r="K3" i="1" s="1"/>
  <c r="G4" i="1"/>
  <c r="K4" i="1" s="1"/>
  <c r="G5" i="1"/>
  <c r="K5" i="1" s="1"/>
  <c r="G6" i="1"/>
  <c r="K6" i="1" s="1"/>
  <c r="G7" i="1"/>
  <c r="K7" i="1" s="1"/>
  <c r="G2" i="1"/>
  <c r="L2" i="1" l="1"/>
  <c r="M2" i="1"/>
  <c r="N2" i="1"/>
  <c r="O2" i="1"/>
  <c r="N8" i="1"/>
  <c r="O8" i="1" s="1"/>
  <c r="L8" i="1"/>
  <c r="M8" i="1" s="1"/>
  <c r="N3" i="1"/>
  <c r="O3" i="1" s="1"/>
  <c r="L3" i="1"/>
  <c r="M3" i="1" s="1"/>
  <c r="N4" i="1"/>
  <c r="O4" i="1" s="1"/>
  <c r="L4" i="1"/>
  <c r="M4" i="1" s="1"/>
  <c r="N5" i="1"/>
  <c r="O5" i="1" s="1"/>
  <c r="L5" i="1"/>
  <c r="M5" i="1" s="1"/>
  <c r="N6" i="1"/>
  <c r="O6" i="1" s="1"/>
  <c r="L6" i="1"/>
  <c r="M6" i="1" s="1"/>
  <c r="N7" i="1"/>
  <c r="O7" i="1" s="1"/>
  <c r="L7" i="1"/>
  <c r="M7" i="1" s="1"/>
</calcChain>
</file>

<file path=xl/sharedStrings.xml><?xml version="1.0" encoding="utf-8"?>
<sst xmlns="http://schemas.openxmlformats.org/spreadsheetml/2006/main" count="36" uniqueCount="26">
  <si>
    <t>Department</t>
  </si>
  <si>
    <t>Pay Date</t>
  </si>
  <si>
    <t>Hours</t>
  </si>
  <si>
    <t>Earnings</t>
  </si>
  <si>
    <t>Overtime Hours</t>
  </si>
  <si>
    <t>Overtime Rate</t>
  </si>
  <si>
    <t>Overtime Earnings</t>
  </si>
  <si>
    <t>Employee Taxes</t>
  </si>
  <si>
    <t>Pay Net</t>
  </si>
  <si>
    <t>Employer Taxes</t>
  </si>
  <si>
    <t>Gross Pay</t>
  </si>
  <si>
    <t>Total Employer Expense</t>
  </si>
  <si>
    <t>Employee</t>
  </si>
  <si>
    <t>Sushi</t>
  </si>
  <si>
    <t>Junior</t>
  </si>
  <si>
    <t>Bob</t>
  </si>
  <si>
    <t>Steve</t>
  </si>
  <si>
    <t>Fish Counter</t>
  </si>
  <si>
    <t>Kitchen</t>
  </si>
  <si>
    <t>Joe</t>
  </si>
  <si>
    <t>Rick</t>
  </si>
  <si>
    <t>Lou</t>
  </si>
  <si>
    <t>Sarah</t>
  </si>
  <si>
    <t>Rate</t>
  </si>
  <si>
    <t>Store</t>
  </si>
  <si>
    <t>Cos 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</si>
</sst>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D415-0E05-4521-821A-02D09EB7F70B}">
  <dimension ref="A1:O8"/>
  <sheetViews>
    <sheetView tabSelected="1" workbookViewId="0">
      <selection activeCell="C11" sqref="C11"/>
    </sheetView>
  </sheetViews>
  <sheetFormatPr defaultRowHeight="14.5" x14ac:dyDescent="0.35"/>
  <cols>
    <col min="2" max="2" width="10.54296875" bestFit="1" customWidth="1"/>
    <col min="3" max="3" width="10.54296875" customWidth="1"/>
    <col min="4" max="4" width="9.08984375" bestFit="1" customWidth="1"/>
    <col min="5" max="5" width="5.6328125" bestFit="1" customWidth="1"/>
    <col min="6" max="6" width="7.7265625" bestFit="1" customWidth="1"/>
    <col min="7" max="7" width="7.7265625" customWidth="1"/>
    <col min="8" max="8" width="13.54296875" bestFit="1" customWidth="1"/>
    <col min="9" max="9" width="12.36328125" bestFit="1" customWidth="1"/>
    <col min="10" max="10" width="15.6328125" bestFit="1" customWidth="1"/>
    <col min="11" max="11" width="15.6328125" customWidth="1"/>
    <col min="12" max="12" width="13.7265625" bestFit="1" customWidth="1"/>
    <col min="13" max="13" width="7" bestFit="1" customWidth="1"/>
    <col min="14" max="14" width="13.36328125" bestFit="1" customWidth="1"/>
    <col min="15" max="15" width="19.90625" bestFit="1" customWidth="1"/>
  </cols>
  <sheetData>
    <row r="1" spans="1:15" x14ac:dyDescent="0.35">
      <c r="A1" t="s">
        <v>24</v>
      </c>
      <c r="B1" t="s">
        <v>0</v>
      </c>
      <c r="C1" t="s">
        <v>12</v>
      </c>
      <c r="D1" t="s">
        <v>1</v>
      </c>
      <c r="E1" t="s">
        <v>2</v>
      </c>
      <c r="F1" t="s">
        <v>23</v>
      </c>
      <c r="G1" t="s">
        <v>3</v>
      </c>
      <c r="H1" t="s">
        <v>4</v>
      </c>
      <c r="I1" t="s">
        <v>5</v>
      </c>
      <c r="J1" t="s">
        <v>6</v>
      </c>
      <c r="K1" t="s">
        <v>10</v>
      </c>
      <c r="L1" t="s">
        <v>7</v>
      </c>
      <c r="M1" t="s">
        <v>8</v>
      </c>
      <c r="N1" t="s">
        <v>9</v>
      </c>
      <c r="O1" t="s">
        <v>11</v>
      </c>
    </row>
    <row r="2" spans="1:15" x14ac:dyDescent="0.35">
      <c r="A2" t="s">
        <v>25</v>
      </c>
      <c r="B2" t="s">
        <v>13</v>
      </c>
      <c r="C2" t="s">
        <v>14</v>
      </c>
      <c r="D2" s="1">
        <v>46045</v>
      </c>
      <c r="E2">
        <v>40</v>
      </c>
      <c r="F2">
        <v>25</v>
      </c>
      <c r="G2">
        <f>E2*F2</f>
        <v>1000</v>
      </c>
      <c r="H2">
        <v>4</v>
      </c>
      <c r="I2">
        <f>F2*1.5</f>
        <v>37.5</v>
      </c>
      <c r="J2">
        <f>H2*I2</f>
        <v>150</v>
      </c>
      <c r="K2">
        <f>J2+G2</f>
        <v>1150</v>
      </c>
      <c r="L2">
        <f>K2*0.22</f>
        <v>253</v>
      </c>
      <c r="M2">
        <f>K2-L2</f>
        <v>897</v>
      </c>
      <c r="N2">
        <f>K2*0.08</f>
        <v>92</v>
      </c>
      <c r="O2">
        <f>K2+N2</f>
        <v>1242</v>
      </c>
    </row>
    <row r="3" spans="1:15" x14ac:dyDescent="0.35">
      <c r="A3" t="s">
        <v>25</v>
      </c>
      <c r="B3" t="s">
        <v>13</v>
      </c>
      <c r="C3" t="s">
        <v>15</v>
      </c>
      <c r="D3" s="1">
        <v>46045</v>
      </c>
      <c r="E3">
        <v>30</v>
      </c>
      <c r="F3">
        <v>22</v>
      </c>
      <c r="G3">
        <f t="shared" ref="G3:G8" si="0">E3*F3</f>
        <v>660</v>
      </c>
      <c r="H3">
        <v>0</v>
      </c>
      <c r="I3">
        <f t="shared" ref="I3:I8" si="1">F3*1.5</f>
        <v>33</v>
      </c>
      <c r="J3">
        <f t="shared" ref="J3:J8" si="2">H3*I3</f>
        <v>0</v>
      </c>
      <c r="K3">
        <f t="shared" ref="K3:K8" si="3">J3+G3</f>
        <v>660</v>
      </c>
      <c r="L3">
        <f t="shared" ref="L3:L8" si="4">K3*0.22</f>
        <v>145.19999999999999</v>
      </c>
      <c r="M3">
        <f t="shared" ref="M3:M8" si="5">K3-L3</f>
        <v>514.79999999999995</v>
      </c>
      <c r="N3">
        <f t="shared" ref="N3:N8" si="6">K3*0.08</f>
        <v>52.800000000000004</v>
      </c>
      <c r="O3">
        <f t="shared" ref="O3:O8" si="7">K3+N3</f>
        <v>712.8</v>
      </c>
    </row>
    <row r="4" spans="1:15" x14ac:dyDescent="0.35">
      <c r="A4" t="s">
        <v>25</v>
      </c>
      <c r="B4" t="s">
        <v>13</v>
      </c>
      <c r="C4" t="s">
        <v>16</v>
      </c>
      <c r="D4" s="1">
        <v>46045</v>
      </c>
      <c r="E4">
        <v>40</v>
      </c>
      <c r="F4">
        <v>23</v>
      </c>
      <c r="G4">
        <f t="shared" si="0"/>
        <v>920</v>
      </c>
      <c r="H4">
        <v>6</v>
      </c>
      <c r="I4">
        <f t="shared" si="1"/>
        <v>34.5</v>
      </c>
      <c r="J4">
        <f t="shared" si="2"/>
        <v>207</v>
      </c>
      <c r="K4">
        <f t="shared" si="3"/>
        <v>1127</v>
      </c>
      <c r="L4">
        <f t="shared" si="4"/>
        <v>247.94</v>
      </c>
      <c r="M4">
        <f t="shared" si="5"/>
        <v>879.06</v>
      </c>
      <c r="N4">
        <f t="shared" si="6"/>
        <v>90.16</v>
      </c>
      <c r="O4">
        <f t="shared" si="7"/>
        <v>1217.1600000000001</v>
      </c>
    </row>
    <row r="5" spans="1:15" x14ac:dyDescent="0.35">
      <c r="A5" t="s">
        <v>25</v>
      </c>
      <c r="B5" t="s">
        <v>17</v>
      </c>
      <c r="C5" t="s">
        <v>19</v>
      </c>
      <c r="D5" s="1">
        <v>46045</v>
      </c>
      <c r="E5">
        <v>35</v>
      </c>
      <c r="F5">
        <v>22</v>
      </c>
      <c r="G5">
        <f t="shared" si="0"/>
        <v>770</v>
      </c>
      <c r="H5">
        <v>0</v>
      </c>
      <c r="I5">
        <f t="shared" si="1"/>
        <v>33</v>
      </c>
      <c r="J5">
        <f t="shared" si="2"/>
        <v>0</v>
      </c>
      <c r="K5">
        <f t="shared" si="3"/>
        <v>770</v>
      </c>
      <c r="L5">
        <f t="shared" si="4"/>
        <v>169.4</v>
      </c>
      <c r="M5">
        <f t="shared" si="5"/>
        <v>600.6</v>
      </c>
      <c r="N5">
        <f t="shared" si="6"/>
        <v>61.6</v>
      </c>
      <c r="O5">
        <f t="shared" si="7"/>
        <v>831.6</v>
      </c>
    </row>
    <row r="6" spans="1:15" x14ac:dyDescent="0.35">
      <c r="A6" t="s">
        <v>25</v>
      </c>
      <c r="B6" t="s">
        <v>17</v>
      </c>
      <c r="C6" t="s">
        <v>20</v>
      </c>
      <c r="D6" s="1">
        <v>46045</v>
      </c>
      <c r="E6">
        <v>40</v>
      </c>
      <c r="F6">
        <v>25</v>
      </c>
      <c r="G6">
        <f t="shared" si="0"/>
        <v>1000</v>
      </c>
      <c r="H6">
        <v>3</v>
      </c>
      <c r="I6">
        <f t="shared" si="1"/>
        <v>37.5</v>
      </c>
      <c r="J6">
        <f t="shared" si="2"/>
        <v>112.5</v>
      </c>
      <c r="K6">
        <f t="shared" si="3"/>
        <v>1112.5</v>
      </c>
      <c r="L6">
        <f t="shared" si="4"/>
        <v>244.75</v>
      </c>
      <c r="M6">
        <f t="shared" si="5"/>
        <v>867.75</v>
      </c>
      <c r="N6">
        <f t="shared" si="6"/>
        <v>89</v>
      </c>
      <c r="O6">
        <f t="shared" si="7"/>
        <v>1201.5</v>
      </c>
    </row>
    <row r="7" spans="1:15" x14ac:dyDescent="0.35">
      <c r="A7" t="s">
        <v>25</v>
      </c>
      <c r="B7" t="s">
        <v>18</v>
      </c>
      <c r="C7" t="s">
        <v>21</v>
      </c>
      <c r="D7" s="1">
        <v>46045</v>
      </c>
      <c r="E7">
        <v>24</v>
      </c>
      <c r="F7">
        <v>22</v>
      </c>
      <c r="G7">
        <f t="shared" si="0"/>
        <v>528</v>
      </c>
      <c r="H7">
        <v>0</v>
      </c>
      <c r="I7">
        <f t="shared" si="1"/>
        <v>33</v>
      </c>
      <c r="J7">
        <f t="shared" si="2"/>
        <v>0</v>
      </c>
      <c r="K7">
        <f t="shared" si="3"/>
        <v>528</v>
      </c>
      <c r="L7">
        <f t="shared" si="4"/>
        <v>116.16</v>
      </c>
      <c r="M7">
        <f t="shared" si="5"/>
        <v>411.84000000000003</v>
      </c>
      <c r="N7">
        <f t="shared" si="6"/>
        <v>42.24</v>
      </c>
      <c r="O7">
        <f t="shared" si="7"/>
        <v>570.24</v>
      </c>
    </row>
    <row r="8" spans="1:15" x14ac:dyDescent="0.35">
      <c r="A8" t="s">
        <v>25</v>
      </c>
      <c r="B8" t="s">
        <v>18</v>
      </c>
      <c r="C8" t="s">
        <v>22</v>
      </c>
      <c r="D8" s="1">
        <v>46045</v>
      </c>
      <c r="E8">
        <v>40</v>
      </c>
      <c r="F8">
        <v>24</v>
      </c>
      <c r="G8">
        <f t="shared" si="0"/>
        <v>960</v>
      </c>
      <c r="H8">
        <v>6</v>
      </c>
      <c r="I8">
        <f t="shared" si="1"/>
        <v>36</v>
      </c>
      <c r="J8">
        <f t="shared" si="2"/>
        <v>216</v>
      </c>
      <c r="K8">
        <f t="shared" si="3"/>
        <v>1176</v>
      </c>
      <c r="L8">
        <f t="shared" si="4"/>
        <v>258.72000000000003</v>
      </c>
      <c r="M8">
        <f t="shared" si="5"/>
        <v>917.28</v>
      </c>
      <c r="N8">
        <f t="shared" si="6"/>
        <v>94.08</v>
      </c>
      <c r="O8">
        <f t="shared" si="7"/>
        <v>1270.08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Thistle</dc:creator>
  <cp:lastModifiedBy>Jim Thistle</cp:lastModifiedBy>
  <dcterms:created xsi:type="dcterms:W3CDTF">2026-03-21T10:14:36Z</dcterms:created>
  <dcterms:modified xsi:type="dcterms:W3CDTF">2026-03-21T10:31:53Z</dcterms:modified>
</cp:coreProperties>
</file>